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ask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<sst xmlns="http://schemas.openxmlformats.org/spreadsheetml/2006/main" count="114" uniqueCount="76">
  <si>
    <t xml:space="preserve">KLIP v1: plan summary</t>
  </si>
  <si>
    <t xml:space="preserve">Edit the blue cells on yellow. Everything else recalculates.</t>
  </si>
  <si>
    <t xml:space="preserve">Inputs</t>
  </si>
  <si>
    <t xml:space="preserve">Start date</t>
  </si>
  <si>
    <t xml:space="preserve">Assumption: the Monday after this plan was made</t>
  </si>
  <si>
    <t xml:space="preserve">Live deadline</t>
  </si>
  <si>
    <t xml:space="preserve">Set by you: 30 Oct 2026</t>
  </si>
  <si>
    <t xml:space="preserve">Local-working milestone</t>
  </si>
  <si>
    <t xml:space="preserve">Assumption: register, login and entries API work end to end</t>
  </si>
  <si>
    <t xml:space="preserve">Hours per week available</t>
  </si>
  <si>
    <t xml:space="preserve">Assumption: about 2h every day, no days off. Replace with your real number</t>
  </si>
  <si>
    <t xml:space="preserve">Summary</t>
  </si>
  <si>
    <t xml:space="preserve">Estimate, low (h)</t>
  </si>
  <si>
    <t xml:space="preserve">Estimate, mid (h)</t>
  </si>
  <si>
    <t xml:space="preserve">Average of low and high per task</t>
  </si>
  <si>
    <t xml:space="preserve">Estimate, high (h)</t>
  </si>
  <si>
    <t xml:space="preserve">Actual hours logged</t>
  </si>
  <si>
    <t xml:space="preserve">Hours remaining (not Done)</t>
  </si>
  <si>
    <t xml:space="preserve">Mid estimate of tasks not marked Done</t>
  </si>
  <si>
    <t xml:space="preserve">Days left to deadline</t>
  </si>
  <si>
    <t xml:space="preserve">Counts from today's date</t>
  </si>
  <si>
    <t xml:space="preserve">Hours/week needed to hit deadline</t>
  </si>
  <si>
    <t xml:space="preserve">Compare with your hours per week above</t>
  </si>
  <si>
    <t xml:space="preserve">Projected finish at your pace</t>
  </si>
  <si>
    <t xml:space="preserve">Verdict</t>
  </si>
  <si>
    <t xml:space="preserve">Tasks done</t>
  </si>
  <si>
    <t xml:space="preserve">Notes and assumptions</t>
  </si>
  <si>
    <t xml:space="preserve">Colour key: blue text = input you edit; black = formula.</t>
  </si>
  <si>
    <t xml:space="preserve">On Tasks, set Status from the dropdown (e.g. Done) and log Actual hours (e.g. 2.5).</t>
  </si>
  <si>
    <t xml:space="preserve">Task estimates are mine: the rows sum to 31.5-35.5 h; the 30-40 h headline allowed for slack.</t>
  </si>
  <si>
    <t xml:space="preserve">Not included: product photos (+1-2 days), phone OTP verification (+1-2 days), password reset, notifications.</t>
  </si>
  <si>
    <t xml:space="preserve">Planned finish runs tasks in order at your weekly hours and ignores college deadlines or days off.</t>
  </si>
  <si>
    <t xml:space="preserve">KLIP v1: task plan</t>
  </si>
  <si>
    <t xml:space="preserve">Estimates are mine (low/high hours per task). Edit blue cells: Status and Actual hrs. Planned finish assumes tasks run in order at the hours/week set on the Summary sheet.</t>
  </si>
  <si>
    <t xml:space="preserve">#</t>
  </si>
  <si>
    <t xml:space="preserve">Phase</t>
  </si>
  <si>
    <t xml:space="preserve">Task</t>
  </si>
  <si>
    <t xml:space="preserve">Who writes it</t>
  </si>
  <si>
    <t xml:space="preserve">Milestone</t>
  </si>
  <si>
    <t xml:space="preserve">Low (h)</t>
  </si>
  <si>
    <t xml:space="preserve">High (h)</t>
  </si>
  <si>
    <t xml:space="preserve">Est. (h)</t>
  </si>
  <si>
    <t xml:space="preserve">Status</t>
  </si>
  <si>
    <t xml:space="preserve">Actual (h)</t>
  </si>
  <si>
    <t xml:space="preserve">Cumulative (h)</t>
  </si>
  <si>
    <t xml:space="preserve">Planned finish</t>
  </si>
  <si>
    <t xml:space="preserve">Flag</t>
  </si>
  <si>
    <t xml:space="preserve">Notes</t>
  </si>
  <si>
    <t xml:space="preserve">Backend</t>
  </si>
  <si>
    <t xml:space="preserve">Test auth (5 cases), fix bugs, write phone.js, startup env check</t>
  </si>
  <si>
    <t xml:space="preserve">You</t>
  </si>
  <si>
    <t xml:space="preserve">Local</t>
  </si>
  <si>
    <t xml:space="preserve">Done</t>
  </si>
  <si>
    <t xml:space="preserve">Register, duplicate, login ok/wrong/unknown phone; one shared phone format</t>
  </si>
  <si>
    <t xml:space="preserve">requireAuth middleware</t>
  </si>
  <si>
    <t xml:space="preserve">Bearer token, id from token only</t>
  </si>
  <si>
    <t xml:space="preserve">Entry endpoints: create, list, confirm/dispute, settle</t>
  </si>
  <si>
    <t xml:space="preserve">Not started</t>
  </si>
  <si>
    <t xml:space="preserve">Each change + entry_events row in one transaction; ownership in the WHERE clause</t>
  </si>
  <si>
    <t xml:space="preserve">Error handler and validation cleanup</t>
  </si>
  <si>
    <t xml:space="preserve">Both</t>
  </si>
  <si>
    <t xml:space="preserve">Frontend</t>
  </si>
  <si>
    <t xml:space="preserve">Vite + React scaffold, routing, API client, auth state</t>
  </si>
  <si>
    <t xml:space="preserve">Claude</t>
  </si>
  <si>
    <t xml:space="preserve">Live</t>
  </si>
  <si>
    <t xml:space="preserve">Plain SPA, thin client; no business logic</t>
  </si>
  <si>
    <t xml:space="preserve">Login and register pages</t>
  </si>
  <si>
    <t xml:space="preserve">Dashboard (owed to me / I owe)</t>
  </si>
  <si>
    <t xml:space="preserve">Create-entry form</t>
  </si>
  <si>
    <t xml:space="preserve">Entry detail with confirm / dispute / settle</t>
  </si>
  <si>
    <t xml:space="preserve">Styling and mobile layout</t>
  </si>
  <si>
    <t xml:space="preserve">Launch</t>
  </si>
  <si>
    <t xml:space="preserve">Deploy backend + frontend, CORS, trust proxy, production Neon branch</t>
  </si>
  <si>
    <t xml:space="preserve">Expect surprises here</t>
  </si>
  <si>
    <t xml:space="preserve">End-to-end testing and bug fixing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</si>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</sst>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 mmm\ yyyy"/>
    <numFmt numFmtId="166" formatCode="0.0"/>
    <numFmt numFmtId="167" formatCode="0"/>
    <numFmt numFmtId="168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6E0B4"/>
      </patternFill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0B4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30"/>
    <col collapsed="false" customWidth="true" hidden="false" outlineLevel="0" max="3" min="3" style="1" width="7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/>
      <c r="C4" s="4"/>
    </row>
    <row r="5" customFormat="false" ht="15" hidden="false" customHeight="true" outlineLevel="0" collapsed="false">
      <c r="A5" s="5" t="s">
        <v>3</v>
      </c>
      <c r="B5" s="6" t="n">
        <v>46307</v>
      </c>
      <c r="C5" s="3" t="s">
        <v>4</v>
      </c>
    </row>
    <row r="6" customFormat="false" ht="15" hidden="false" customHeight="true" outlineLevel="0" collapsed="false">
      <c r="A6" s="5" t="s">
        <v>5</v>
      </c>
      <c r="B6" s="6" t="n">
        <v>46325</v>
      </c>
      <c r="C6" s="3" t="s">
        <v>6</v>
      </c>
    </row>
    <row r="7" customFormat="false" ht="15" hidden="false" customHeight="true" outlineLevel="0" collapsed="false">
      <c r="A7" s="5" t="s">
        <v>7</v>
      </c>
      <c r="B7" s="6" t="n">
        <v>46317</v>
      </c>
      <c r="C7" s="3" t="s">
        <v>8</v>
      </c>
    </row>
    <row r="8" customFormat="false" ht="15" hidden="false" customHeight="true" outlineLevel="0" collapsed="false">
      <c r="A8" s="5" t="s">
        <v>9</v>
      </c>
      <c r="B8" s="7" t="n">
        <v>14</v>
      </c>
      <c r="C8" s="3" t="s">
        <v>10</v>
      </c>
    </row>
    <row r="10" customFormat="false" ht="15" hidden="false" customHeight="true" outlineLevel="0" collapsed="false">
      <c r="A10" s="4" t="s">
        <v>11</v>
      </c>
      <c r="B10" s="4"/>
      <c r="C10" s="4"/>
    </row>
    <row r="11" customFormat="false" ht="15" hidden="false" customHeight="true" outlineLevel="0" collapsed="false">
      <c r="A11" s="5" t="s">
        <v>12</v>
      </c>
      <c r="B11" s="8" t="n">
        <f aca="false">SUM(Tasks!F5:F16)</f>
        <v>31.5</v>
      </c>
      <c r="C11" s="3"/>
    </row>
    <row r="12" customFormat="false" ht="15" hidden="false" customHeight="true" outlineLevel="0" collapsed="false">
      <c r="A12" s="5" t="s">
        <v>13</v>
      </c>
      <c r="B12" s="8" t="n">
        <f aca="false">SUM(Tasks!H5:H16)</f>
        <v>33.5</v>
      </c>
      <c r="C12" s="3" t="s">
        <v>14</v>
      </c>
    </row>
    <row r="13" customFormat="false" ht="15" hidden="false" customHeight="true" outlineLevel="0" collapsed="false">
      <c r="A13" s="5" t="s">
        <v>15</v>
      </c>
      <c r="B13" s="8" t="n">
        <f aca="false">SUM(Tasks!G5:G16)</f>
        <v>35.5</v>
      </c>
      <c r="C13" s="3"/>
    </row>
    <row r="14" customFormat="false" ht="15" hidden="false" customHeight="true" outlineLevel="0" collapsed="false">
      <c r="A14" s="5" t="s">
        <v>16</v>
      </c>
      <c r="B14" s="8" t="n">
        <f aca="false">SUM(Tasks!J5:J16)</f>
        <v>0</v>
      </c>
      <c r="C14" s="3"/>
    </row>
    <row r="15" customFormat="false" ht="15" hidden="false" customHeight="true" outlineLevel="0" collapsed="false">
      <c r="A15" s="5" t="s">
        <v>17</v>
      </c>
      <c r="B15" s="8" t="n">
        <f aca="false">SUMIFS(Tasks!H5:H16,Tasks!I5:I16,"&lt;&gt;Done")</f>
        <v>31</v>
      </c>
      <c r="C15" s="3" t="s">
        <v>18</v>
      </c>
    </row>
    <row r="16" customFormat="false" ht="15" hidden="false" customHeight="true" outlineLevel="0" collapsed="false">
      <c r="A16" s="5" t="s">
        <v>19</v>
      </c>
      <c r="B16" s="9" t="n">
        <f aca="true">MAX(B6-TODAY(),0)</f>
        <v>18</v>
      </c>
      <c r="C16" s="3" t="s">
        <v>20</v>
      </c>
    </row>
    <row r="17" customFormat="false" ht="15" hidden="false" customHeight="true" outlineLevel="0" collapsed="false">
      <c r="A17" s="5" t="s">
        <v>21</v>
      </c>
      <c r="B17" s="8" t="n">
        <f aca="true">B15/(MAX(B6-MAX(B5,TODAY()),1)/7)</f>
        <v>12.0555555555556</v>
      </c>
      <c r="C17" s="3" t="s">
        <v>22</v>
      </c>
    </row>
    <row r="18" customFormat="false" ht="15" hidden="false" customHeight="true" outlineLevel="0" collapsed="false">
      <c r="A18" s="5" t="s">
        <v>23</v>
      </c>
      <c r="B18" s="10" t="n">
        <f aca="true">MAX(B5,TODAY())+ROUNDUP(B15*7/B8,0)</f>
        <v>46323</v>
      </c>
      <c r="C18" s="3"/>
    </row>
    <row r="19" customFormat="false" ht="15" hidden="false" customHeight="true" outlineLevel="0" collapsed="false">
      <c r="A19" s="5" t="s">
        <v>24</v>
      </c>
      <c r="B19" s="11" t="str">
        <f aca="false">IF(B18&lt;=B6,"On track","Behind: add hours or cut scope")</f>
        <v>On track</v>
      </c>
      <c r="C19" s="3"/>
    </row>
    <row r="20" customFormat="false" ht="15" hidden="false" customHeight="true" outlineLevel="0" collapsed="false">
      <c r="A20" s="5" t="s">
        <v>25</v>
      </c>
      <c r="B20" s="12" t="str">
        <f aca="false">COUNTIF(Tasks!I5:I16,"Done")&amp;" of "&amp;COUNTA(Tasks!C5:C16)</f>
        <v>2 of 12</v>
      </c>
      <c r="C20" s="3"/>
    </row>
    <row r="22" customFormat="false" ht="15" hidden="false" customHeight="true" outlineLevel="0" collapsed="false">
      <c r="A22" s="4" t="s">
        <v>26</v>
      </c>
      <c r="B22" s="4"/>
      <c r="C22" s="4"/>
    </row>
    <row r="23" customFormat="false" ht="15" hidden="false" customHeight="true" outlineLevel="0" collapsed="false">
      <c r="A23" s="13" t="s">
        <v>27</v>
      </c>
    </row>
    <row r="24" customFormat="false" ht="15" hidden="false" customHeight="true" outlineLevel="0" collapsed="false">
      <c r="A24" s="13" t="s">
        <v>28</v>
      </c>
    </row>
    <row r="25" customFormat="false" ht="15" hidden="false" customHeight="true" outlineLevel="0" collapsed="false">
      <c r="A25" s="13" t="s">
        <v>29</v>
      </c>
    </row>
    <row r="26" customFormat="false" ht="15" hidden="false" customHeight="true" outlineLevel="0" collapsed="false">
      <c r="A26" s="13" t="s">
        <v>30</v>
      </c>
    </row>
    <row r="27" customFormat="false" ht="15" hidden="false" customHeight="true" outlineLevel="0" collapsed="false">
      <c r="A27" s="13" t="s">
        <v>31</v>
      </c>
    </row>
  </sheetData>
  <conditionalFormatting sqref="B19">
    <cfRule type="expression" priority="2" aboveAverage="0" equalAverage="0" bottom="0" percent="0" rank="0" text="" dxfId="0">
      <formula>B19="On track"</formula>
    </cfRule>
    <cfRule type="expression" priority="3" aboveAverage="0" equalAverage="0" bottom="0" percent="0" rank="0" text="" dxfId="1">
      <formula>LEFT(B19,6)="Behind"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"/>
    <col collapsed="false" customWidth="true" hidden="false" outlineLevel="0" max="3" min="3" style="1" width="52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8" min="6" style="1" width="8"/>
    <col collapsed="false" customWidth="true" hidden="false" outlineLevel="0" max="9" min="9" style="1" width="13"/>
    <col collapsed="false" customWidth="true" hidden="false" outlineLevel="0" max="10" min="10" style="1" width="10"/>
    <col collapsed="false" customWidth="true" hidden="false" outlineLevel="0" max="11" min="11" style="1" width="13"/>
    <col collapsed="false" customWidth="true" hidden="false" outlineLevel="0" max="12" min="12" style="1" width="14"/>
    <col collapsed="false" customWidth="true" hidden="false" outlineLevel="0" max="13" min="13" style="1" width="11"/>
    <col collapsed="false" customWidth="true" hidden="false" outlineLevel="0" max="14" min="14" style="1" width="52"/>
  </cols>
  <sheetData>
    <row r="1" customFormat="false" ht="17.25" hidden="false" customHeight="true" outlineLevel="0" collapsed="false">
      <c r="A1" s="2" t="s">
        <v>32</v>
      </c>
    </row>
    <row r="2" customFormat="false" ht="15" hidden="false" customHeight="true" outlineLevel="0" collapsed="false">
      <c r="A2" s="3" t="s">
        <v>33</v>
      </c>
    </row>
    <row r="4" customFormat="false" ht="30" hidden="false" customHeight="true" outlineLevel="0" collapsed="false">
      <c r="A4" s="14" t="s">
        <v>34</v>
      </c>
      <c r="B4" s="14" t="s">
        <v>35</v>
      </c>
      <c r="C4" s="14" t="s">
        <v>36</v>
      </c>
      <c r="D4" s="14" t="s">
        <v>37</v>
      </c>
      <c r="E4" s="14" t="s">
        <v>38</v>
      </c>
      <c r="F4" s="14" t="s">
        <v>39</v>
      </c>
      <c r="G4" s="14" t="s">
        <v>40</v>
      </c>
      <c r="H4" s="14" t="s">
        <v>41</v>
      </c>
      <c r="I4" s="14" t="s">
        <v>42</v>
      </c>
      <c r="J4" s="14" t="s">
        <v>43</v>
      </c>
      <c r="K4" s="14" t="s">
        <v>44</v>
      </c>
      <c r="L4" s="14" t="s">
        <v>45</v>
      </c>
      <c r="M4" s="14" t="s">
        <v>46</v>
      </c>
      <c r="N4" s="14" t="s">
        <v>47</v>
      </c>
    </row>
    <row r="5" customFormat="false" ht="23.25" hidden="false" customHeight="true" outlineLevel="0" collapsed="false">
      <c r="A5" s="15" t="n">
        <v>1</v>
      </c>
      <c r="B5" s="5" t="s">
        <v>48</v>
      </c>
      <c r="C5" s="16" t="s">
        <v>49</v>
      </c>
      <c r="D5" s="15" t="s">
        <v>50</v>
      </c>
      <c r="E5" s="15" t="s">
        <v>51</v>
      </c>
      <c r="F5" s="17" t="n">
        <v>2</v>
      </c>
      <c r="G5" s="17" t="n">
        <v>2</v>
      </c>
      <c r="H5" s="8" t="n">
        <f aca="false">AVERAGE(F5,G5)</f>
        <v>2</v>
      </c>
      <c r="I5" s="18" t="s">
        <v>52</v>
      </c>
      <c r="J5" s="7"/>
      <c r="K5" s="8" t="n">
        <f aca="false">SUM($H$5:H5)</f>
        <v>2</v>
      </c>
      <c r="L5" s="10" t="n">
        <f aca="false">Summary!$B$5+ROUNDUP(K5*7/Summary!$B$8,0)</f>
        <v>46308</v>
      </c>
      <c r="M5" s="15" t="str">
        <f aca="false">IF(I5="Done","Done",IF(L5&lt;=IF(E5="Local",Summary!$B$7,Summary!$B$6),"On track","Behind"))</f>
        <v>Done</v>
      </c>
      <c r="N5" s="16" t="s">
        <v>53</v>
      </c>
    </row>
    <row r="6" customFormat="false" ht="15" hidden="false" customHeight="true" outlineLevel="0" collapsed="false">
      <c r="A6" s="15" t="n">
        <v>2</v>
      </c>
      <c r="B6" s="5" t="s">
        <v>48</v>
      </c>
      <c r="C6" s="16" t="s">
        <v>54</v>
      </c>
      <c r="D6" s="15" t="s">
        <v>50</v>
      </c>
      <c r="E6" s="15" t="s">
        <v>51</v>
      </c>
      <c r="F6" s="17" t="n">
        <v>0.5</v>
      </c>
      <c r="G6" s="17" t="n">
        <v>0.5</v>
      </c>
      <c r="H6" s="8" t="n">
        <f aca="false">AVERAGE(F6,G6)</f>
        <v>0.5</v>
      </c>
      <c r="I6" s="18" t="s">
        <v>52</v>
      </c>
      <c r="J6" s="7"/>
      <c r="K6" s="8" t="n">
        <f aca="false">SUM($H$5:H6)</f>
        <v>2.5</v>
      </c>
      <c r="L6" s="10" t="n">
        <f aca="false">Summary!$B$5+ROUNDUP(K6*7/Summary!$B$8,0)</f>
        <v>46309</v>
      </c>
      <c r="M6" s="15" t="str">
        <f aca="false">IF(I6="Done","Done",IF(L6&lt;=IF(E6="Local",Summary!$B$7,Summary!$B$6),"On track","Behind"))</f>
        <v>Done</v>
      </c>
      <c r="N6" s="16" t="s">
        <v>55</v>
      </c>
    </row>
    <row r="7" customFormat="false" ht="23.25" hidden="false" customHeight="true" outlineLevel="0" collapsed="false">
      <c r="A7" s="15" t="n">
        <v>3</v>
      </c>
      <c r="B7" s="5" t="s">
        <v>48</v>
      </c>
      <c r="C7" s="16" t="s">
        <v>56</v>
      </c>
      <c r="D7" s="15" t="s">
        <v>50</v>
      </c>
      <c r="E7" s="15" t="s">
        <v>51</v>
      </c>
      <c r="F7" s="17" t="n">
        <v>5</v>
      </c>
      <c r="G7" s="17" t="n">
        <v>7</v>
      </c>
      <c r="H7" s="8" t="n">
        <f aca="false">AVERAGE(F7,G7)</f>
        <v>6</v>
      </c>
      <c r="I7" s="18" t="s">
        <v>57</v>
      </c>
      <c r="J7" s="7"/>
      <c r="K7" s="8" t="n">
        <f aca="false">SUM($H$5:H7)</f>
        <v>8.5</v>
      </c>
      <c r="L7" s="10" t="n">
        <f aca="false">Summary!$B$5+ROUNDUP(K7*7/Summary!$B$8,0)</f>
        <v>46312</v>
      </c>
      <c r="M7" s="15" t="str">
        <f aca="false">IF(I7="Done","Done",IF(L7&lt;=IF(E7="Local",Summary!$B$7,Summary!$B$6),"On track","Behind"))</f>
        <v>On track</v>
      </c>
      <c r="N7" s="16" t="s">
        <v>58</v>
      </c>
    </row>
    <row r="8" customFormat="false" ht="15" hidden="false" customHeight="true" outlineLevel="0" collapsed="false">
      <c r="A8" s="15" t="n">
        <v>4</v>
      </c>
      <c r="B8" s="5" t="s">
        <v>48</v>
      </c>
      <c r="C8" s="16" t="s">
        <v>59</v>
      </c>
      <c r="D8" s="15" t="s">
        <v>60</v>
      </c>
      <c r="E8" s="15" t="s">
        <v>51</v>
      </c>
      <c r="F8" s="17" t="n">
        <v>1</v>
      </c>
      <c r="G8" s="17" t="n">
        <v>1</v>
      </c>
      <c r="H8" s="8" t="n">
        <f aca="false">AVERAGE(F8,G8)</f>
        <v>1</v>
      </c>
      <c r="I8" s="18" t="s">
        <v>57</v>
      </c>
      <c r="J8" s="7"/>
      <c r="K8" s="8" t="n">
        <f aca="false">SUM($H$5:H8)</f>
        <v>9.5</v>
      </c>
      <c r="L8" s="10" t="n">
        <f aca="false">Summary!$B$5+ROUNDUP(K8*7/Summary!$B$8,0)</f>
        <v>46312</v>
      </c>
      <c r="M8" s="15" t="str">
        <f aca="false">IF(I8="Done","Done",IF(L8&lt;=IF(E8="Local",Summary!$B$7,Summary!$B$6),"On track","Behind"))</f>
        <v>On track</v>
      </c>
      <c r="N8" s="16"/>
    </row>
    <row r="9" customFormat="false" ht="15" hidden="false" customHeight="true" outlineLevel="0" collapsed="false">
      <c r="A9" s="15" t="n">
        <v>5</v>
      </c>
      <c r="B9" s="5" t="s">
        <v>61</v>
      </c>
      <c r="C9" s="16" t="s">
        <v>62</v>
      </c>
      <c r="D9" s="15" t="s">
        <v>63</v>
      </c>
      <c r="E9" s="15" t="s">
        <v>64</v>
      </c>
      <c r="F9" s="17" t="n">
        <v>3</v>
      </c>
      <c r="G9" s="17" t="n">
        <v>3</v>
      </c>
      <c r="H9" s="8" t="n">
        <f aca="false">AVERAGE(F9,G9)</f>
        <v>3</v>
      </c>
      <c r="I9" s="18" t="s">
        <v>57</v>
      </c>
      <c r="J9" s="7"/>
      <c r="K9" s="8" t="n">
        <f aca="false">SUM($H$5:H9)</f>
        <v>12.5</v>
      </c>
      <c r="L9" s="10" t="n">
        <f aca="false">Summary!$B$5+ROUNDUP(K9*7/Summary!$B$8,0)</f>
        <v>46314</v>
      </c>
      <c r="M9" s="15" t="str">
        <f aca="false">IF(I9="Done","Done",IF(L9&lt;=IF(E9="Local",Summary!$B$7,Summary!$B$6),"On track","Behind"))</f>
        <v>On track</v>
      </c>
      <c r="N9" s="16" t="s">
        <v>65</v>
      </c>
    </row>
    <row r="10" customFormat="false" ht="15" hidden="false" customHeight="true" outlineLevel="0" collapsed="false">
      <c r="A10" s="15" t="n">
        <v>6</v>
      </c>
      <c r="B10" s="5" t="s">
        <v>61</v>
      </c>
      <c r="C10" s="16" t="s">
        <v>66</v>
      </c>
      <c r="D10" s="15" t="s">
        <v>60</v>
      </c>
      <c r="E10" s="15" t="s">
        <v>64</v>
      </c>
      <c r="F10" s="17" t="n">
        <v>2</v>
      </c>
      <c r="G10" s="17" t="n">
        <v>2</v>
      </c>
      <c r="H10" s="8" t="n">
        <f aca="false">AVERAGE(F10,G10)</f>
        <v>2</v>
      </c>
      <c r="I10" s="18" t="s">
        <v>57</v>
      </c>
      <c r="J10" s="7"/>
      <c r="K10" s="8" t="n">
        <f aca="false">SUM($H$5:H10)</f>
        <v>14.5</v>
      </c>
      <c r="L10" s="10" t="n">
        <f aca="false">Summary!$B$5+ROUNDUP(K10*7/Summary!$B$8,0)</f>
        <v>46315</v>
      </c>
      <c r="M10" s="15" t="str">
        <f aca="false">IF(I10="Done","Done",IF(L10&lt;=IF(E10="Local",Summary!$B$7,Summary!$B$6),"On track","Behind"))</f>
        <v>On track</v>
      </c>
      <c r="N10" s="16"/>
    </row>
    <row r="11" customFormat="false" ht="15" hidden="false" customHeight="true" outlineLevel="0" collapsed="false">
      <c r="A11" s="15" t="n">
        <v>7</v>
      </c>
      <c r="B11" s="5" t="s">
        <v>61</v>
      </c>
      <c r="C11" s="16" t="s">
        <v>67</v>
      </c>
      <c r="D11" s="15" t="s">
        <v>60</v>
      </c>
      <c r="E11" s="15" t="s">
        <v>64</v>
      </c>
      <c r="F11" s="17" t="n">
        <v>3</v>
      </c>
      <c r="G11" s="17" t="n">
        <v>3</v>
      </c>
      <c r="H11" s="8" t="n">
        <f aca="false">AVERAGE(F11,G11)</f>
        <v>3</v>
      </c>
      <c r="I11" s="18" t="s">
        <v>57</v>
      </c>
      <c r="J11" s="7"/>
      <c r="K11" s="8" t="n">
        <f aca="false">SUM($H$5:H11)</f>
        <v>17.5</v>
      </c>
      <c r="L11" s="10" t="n">
        <f aca="false">Summary!$B$5+ROUNDUP(K11*7/Summary!$B$8,0)</f>
        <v>46316</v>
      </c>
      <c r="M11" s="15" t="str">
        <f aca="false">IF(I11="Done","Done",IF(L11&lt;=IF(E11="Local",Summary!$B$7,Summary!$B$6),"On track","Behind"))</f>
        <v>On track</v>
      </c>
      <c r="N11" s="16"/>
    </row>
    <row r="12" customFormat="false" ht="15" hidden="false" customHeight="true" outlineLevel="0" collapsed="false">
      <c r="A12" s="15" t="n">
        <v>8</v>
      </c>
      <c r="B12" s="5" t="s">
        <v>61</v>
      </c>
      <c r="C12" s="16" t="s">
        <v>68</v>
      </c>
      <c r="D12" s="15" t="s">
        <v>60</v>
      </c>
      <c r="E12" s="15" t="s">
        <v>64</v>
      </c>
      <c r="F12" s="17" t="n">
        <v>2</v>
      </c>
      <c r="G12" s="17" t="n">
        <v>2</v>
      </c>
      <c r="H12" s="8" t="n">
        <f aca="false">AVERAGE(F12,G12)</f>
        <v>2</v>
      </c>
      <c r="I12" s="18" t="s">
        <v>57</v>
      </c>
      <c r="J12" s="7"/>
      <c r="K12" s="8" t="n">
        <f aca="false">SUM($H$5:H12)</f>
        <v>19.5</v>
      </c>
      <c r="L12" s="10" t="n">
        <f aca="false">Summary!$B$5+ROUNDUP(K12*7/Summary!$B$8,0)</f>
        <v>46317</v>
      </c>
      <c r="M12" s="15" t="str">
        <f aca="false">IF(I12="Done","Done",IF(L12&lt;=IF(E12="Local",Summary!$B$7,Summary!$B$6),"On track","Behind"))</f>
        <v>On track</v>
      </c>
      <c r="N12" s="16"/>
    </row>
    <row r="13" customFormat="false" ht="15" hidden="false" customHeight="true" outlineLevel="0" collapsed="false">
      <c r="A13" s="15" t="n">
        <v>9</v>
      </c>
      <c r="B13" s="5" t="s">
        <v>61</v>
      </c>
      <c r="C13" s="16" t="s">
        <v>69</v>
      </c>
      <c r="D13" s="15" t="s">
        <v>60</v>
      </c>
      <c r="E13" s="15" t="s">
        <v>64</v>
      </c>
      <c r="F13" s="17" t="n">
        <v>3</v>
      </c>
      <c r="G13" s="17" t="n">
        <v>3</v>
      </c>
      <c r="H13" s="8" t="n">
        <f aca="false">AVERAGE(F13,G13)</f>
        <v>3</v>
      </c>
      <c r="I13" s="18" t="s">
        <v>57</v>
      </c>
      <c r="J13" s="7"/>
      <c r="K13" s="8" t="n">
        <f aca="false">SUM($H$5:H13)</f>
        <v>22.5</v>
      </c>
      <c r="L13" s="10" t="n">
        <f aca="false">Summary!$B$5+ROUNDUP(K13*7/Summary!$B$8,0)</f>
        <v>46319</v>
      </c>
      <c r="M13" s="15" t="str">
        <f aca="false">IF(I13="Done","Done",IF(L13&lt;=IF(E13="Local",Summary!$B$7,Summary!$B$6),"On track","Behind"))</f>
        <v>On track</v>
      </c>
      <c r="N13" s="16"/>
    </row>
    <row r="14" customFormat="false" ht="15" hidden="false" customHeight="true" outlineLevel="0" collapsed="false">
      <c r="A14" s="15" t="n">
        <v>10</v>
      </c>
      <c r="B14" s="5" t="s">
        <v>61</v>
      </c>
      <c r="C14" s="16" t="s">
        <v>70</v>
      </c>
      <c r="D14" s="15" t="s">
        <v>60</v>
      </c>
      <c r="E14" s="15" t="s">
        <v>64</v>
      </c>
      <c r="F14" s="17" t="n">
        <v>3</v>
      </c>
      <c r="G14" s="17" t="n">
        <v>4</v>
      </c>
      <c r="H14" s="8" t="n">
        <f aca="false">AVERAGE(F14,G14)</f>
        <v>3.5</v>
      </c>
      <c r="I14" s="18" t="s">
        <v>57</v>
      </c>
      <c r="J14" s="7"/>
      <c r="K14" s="8" t="n">
        <f aca="false">SUM($H$5:H14)</f>
        <v>26</v>
      </c>
      <c r="L14" s="10" t="n">
        <f aca="false">Summary!$B$5+ROUNDUP(K14*7/Summary!$B$8,0)</f>
        <v>46320</v>
      </c>
      <c r="M14" s="15" t="str">
        <f aca="false">IF(I14="Done","Done",IF(L14&lt;=IF(E14="Local",Summary!$B$7,Summary!$B$6),"On track","Behind"))</f>
        <v>On track</v>
      </c>
      <c r="N14" s="16"/>
    </row>
    <row r="15" customFormat="false" ht="23.25" hidden="false" customHeight="true" outlineLevel="0" collapsed="false">
      <c r="A15" s="15" t="n">
        <v>11</v>
      </c>
      <c r="B15" s="5" t="s">
        <v>71</v>
      </c>
      <c r="C15" s="16" t="s">
        <v>72</v>
      </c>
      <c r="D15" s="15" t="s">
        <v>60</v>
      </c>
      <c r="E15" s="15" t="s">
        <v>64</v>
      </c>
      <c r="F15" s="17" t="n">
        <v>3</v>
      </c>
      <c r="G15" s="17" t="n">
        <v>4</v>
      </c>
      <c r="H15" s="8" t="n">
        <f aca="false">AVERAGE(F15,G15)</f>
        <v>3.5</v>
      </c>
      <c r="I15" s="18" t="s">
        <v>57</v>
      </c>
      <c r="J15" s="7"/>
      <c r="K15" s="8" t="n">
        <f aca="false">SUM($H$5:H15)</f>
        <v>29.5</v>
      </c>
      <c r="L15" s="10" t="n">
        <f aca="false">Summary!$B$5+ROUNDUP(K15*7/Summary!$B$8,0)</f>
        <v>46322</v>
      </c>
      <c r="M15" s="15" t="str">
        <f aca="false">IF(I15="Done","Done",IF(L15&lt;=IF(E15="Local",Summary!$B$7,Summary!$B$6),"On track","Behind"))</f>
        <v>On track</v>
      </c>
      <c r="N15" s="16" t="s">
        <v>73</v>
      </c>
    </row>
    <row r="16" customFormat="false" ht="15" hidden="false" customHeight="true" outlineLevel="0" collapsed="false">
      <c r="A16" s="15" t="n">
        <v>12</v>
      </c>
      <c r="B16" s="5" t="s">
        <v>71</v>
      </c>
      <c r="C16" s="16" t="s">
        <v>74</v>
      </c>
      <c r="D16" s="15" t="s">
        <v>50</v>
      </c>
      <c r="E16" s="15" t="s">
        <v>64</v>
      </c>
      <c r="F16" s="17" t="n">
        <v>4</v>
      </c>
      <c r="G16" s="17" t="n">
        <v>4</v>
      </c>
      <c r="H16" s="8" t="n">
        <f aca="false">AVERAGE(F16,G16)</f>
        <v>4</v>
      </c>
      <c r="I16" s="18" t="s">
        <v>57</v>
      </c>
      <c r="J16" s="7"/>
      <c r="K16" s="8" t="n">
        <f aca="false">SUM($H$5:H16)</f>
        <v>33.5</v>
      </c>
      <c r="L16" s="10" t="n">
        <f aca="false">Summary!$B$5+ROUNDUP(K16*7/Summary!$B$8,0)</f>
        <v>46324</v>
      </c>
      <c r="M16" s="15" t="str">
        <f aca="false">IF(I16="Done","Done",IF(L16&lt;=IF(E16="Local",Summary!$B$7,Summary!$B$6),"On track","Behind"))</f>
        <v>On track</v>
      </c>
      <c r="N16" s="16"/>
    </row>
    <row r="17" customFormat="false" ht="15" hidden="false" customHeight="true" outlineLevel="0" collapsed="false">
      <c r="A17" s="19"/>
      <c r="B17" s="19"/>
      <c r="C17" s="19" t="s">
        <v>75</v>
      </c>
      <c r="D17" s="20"/>
      <c r="E17" s="20"/>
      <c r="F17" s="21" t="n">
        <f aca="false">SUM(F5:F16)</f>
        <v>31.5</v>
      </c>
      <c r="G17" s="21" t="n">
        <f aca="false">SUM(G5:G16)</f>
        <v>35.5</v>
      </c>
      <c r="H17" s="21" t="n">
        <f aca="false">SUM(H5:H16)</f>
        <v>33.5</v>
      </c>
      <c r="I17" s="20"/>
      <c r="J17" s="21" t="n">
        <f aca="false">SUM(J5:J16)</f>
        <v>0</v>
      </c>
      <c r="K17" s="20"/>
      <c r="L17" s="20"/>
      <c r="M17" s="20"/>
      <c r="N17" s="20"/>
    </row>
  </sheetData>
  <conditionalFormatting sqref="M5:M16">
    <cfRule type="cellIs" priority="2" operator="equal" aboveAverage="0" equalAverage="0" bottom="0" percent="0" rank="0" text="" dxfId="1">
      <formula>"Behind"</formula>
    </cfRule>
    <cfRule type="cellIs" priority="3" operator="equal" aboveAverage="0" equalAverage="0" bottom="0" percent="0" rank="0" text="" dxfId="0">
      <formula>"On track"</formula>
    </cfRule>
    <cfRule type="cellIs" priority="4" operator="equal" aboveAverage="0" equalAverage="0" bottom="0" percent="0" rank="0" text="" dxfId="0">
      <formula>"Done"</formula>
    </cfRule>
  </conditionalFormatting>
  <dataValidations count="1">
    <dataValidation allowBlank="false" errorStyle="stop" operator="between" showDropDown="false" showErrorMessage="false" showInputMessage="false" sqref="I5:I16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2026-10-11T15:22:14Z</dcterms:created>
  <dc:creator>openpyxl</dc:creator>
  <dc:description/>
  <dc:language>en-US</dc:language>
  <cp:lastModifiedBy/>
  <dcterms:modified xsi:type="dcterms:W3CDTF">2026-10-12T19:06:37Z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